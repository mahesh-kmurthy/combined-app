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/>
  <mc:AlternateContent xmlns:mc="http://schemas.openxmlformats.org/markup-compatibility/2006">
    <mc:Choice Requires="x15">
      <x15ac:absPath xmlns:x15ac="http://schemas.microsoft.com/office/spreadsheetml/2010/11/ac" url="/Users/maheshkmurthy/Downloads/"/>
    </mc:Choice>
  </mc:AlternateContent>
  <xr:revisionPtr revIDLastSave="0" documentId="13_ncr:1_{5A5641F3-0C65-BC4A-A8D7-2D24EFDD78A0}" xr6:coauthVersionLast="47" xr6:coauthVersionMax="47" xr10:uidLastSave="{00000000-0000-0000-0000-000000000000}"/>
  <bookViews>
    <workbookView xWindow="0" yWindow="600" windowWidth="29400" windowHeight="19120" activeTab="3" xr2:uid="{00000000-000D-0000-FFFF-FFFF00000000}"/>
  </bookViews>
  <sheets>
    <sheet name="Income Statement" sheetId="3" r:id="rId1"/>
    <sheet name="Balance Sheet" sheetId="4" r:id="rId2"/>
    <sheet name="Cash Flow" sheetId="5" r:id="rId3"/>
    <sheet name="DCF Model" sheetId="2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2" l="1"/>
  <c r="B3" i="2" a="1"/>
  <c r="B3" i="2" s="1"/>
  <c r="B2" i="2" a="1"/>
  <c r="B2" i="2" s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<sst xmlns="http://schemas.openxmlformats.org/spreadsheetml/2006/main" count="206" uniqueCount="196">
  <si>
    <t>Neet debt</t>
  </si>
  <si>
    <t>free cash flow</t>
  </si>
  <si>
    <t>Growth Rate</t>
  </si>
  <si>
    <t>avg</t>
  </si>
  <si>
    <t>Discount Rate</t>
  </si>
  <si>
    <t>Tax Effect Of Unusual Items</t>
  </si>
  <si>
    <t>Tax Rate For Calcs</t>
  </si>
  <si>
    <t>Normalized EBITDA</t>
  </si>
  <si>
    <t>Net Income From Continuing Operation Net Minority Interest</t>
  </si>
  <si>
    <t>Reconciled Depreciation</t>
  </si>
  <si>
    <t>Reconciled Cost Of Revenue</t>
  </si>
  <si>
    <t>EBITDA</t>
  </si>
  <si>
    <t>EBIT</t>
  </si>
  <si>
    <t>Net Interest Income</t>
  </si>
  <si>
    <t>Interest Expense</t>
  </si>
  <si>
    <t>Interest Income</t>
  </si>
  <si>
    <t>Normalized Income</t>
  </si>
  <si>
    <t>Net Income From Continuing And Discontinued Operation</t>
  </si>
  <si>
    <t>Total Expenses</t>
  </si>
  <si>
    <t>Total Operating Income As Reported</t>
  </si>
  <si>
    <t>Diluted Average Shares</t>
  </si>
  <si>
    <t>Basic Average Shares</t>
  </si>
  <si>
    <t>Diluted EPS</t>
  </si>
  <si>
    <t>Basic EPS</t>
  </si>
  <si>
    <t>Diluted NI Availto Com Stockholders</t>
  </si>
  <si>
    <t>Net Income Common Stockholders</t>
  </si>
  <si>
    <t>Net Income</t>
  </si>
  <si>
    <t>Net Income Including Noncontrolling Interests</t>
  </si>
  <si>
    <t>Net Income Continuous Operations</t>
  </si>
  <si>
    <t>Tax Provision</t>
  </si>
  <si>
    <t>Pretax Income</t>
  </si>
  <si>
    <t>Other Income Expense</t>
  </si>
  <si>
    <t>Other Non Operating Income Expenses</t>
  </si>
  <si>
    <t>Net Non Operating Interest Income Expense</t>
  </si>
  <si>
    <t>Interest Expense Non Operating</t>
  </si>
  <si>
    <t>Interest Income Non Operating</t>
  </si>
  <si>
    <t>Operating Income</t>
  </si>
  <si>
    <t>Operating Expense</t>
  </si>
  <si>
    <t>Research And Development</t>
  </si>
  <si>
    <t>Selling General And Administration</t>
  </si>
  <si>
    <t>Gross Profit</t>
  </si>
  <si>
    <t>Cost Of Revenue</t>
  </si>
  <si>
    <t>Total Revenue</t>
  </si>
  <si>
    <t>Operating Revenue</t>
  </si>
  <si>
    <t>Treasury Shares Number</t>
  </si>
  <si>
    <t>Ordinary Shares Number</t>
  </si>
  <si>
    <t>Share Issued</t>
  </si>
  <si>
    <t>Net Debt</t>
  </si>
  <si>
    <t>Total Debt</t>
  </si>
  <si>
    <t>Tangible Book Value</t>
  </si>
  <si>
    <t>Invested Capital</t>
  </si>
  <si>
    <t>Working Capital</t>
  </si>
  <si>
    <t>Net Tangible Assets</t>
  </si>
  <si>
    <t>Capital Lease Obligations</t>
  </si>
  <si>
    <t>Common Stock Equity</t>
  </si>
  <si>
    <t>Total Capitalization</t>
  </si>
  <si>
    <t>Total Equity Gross Minority Interest</t>
  </si>
  <si>
    <t>Stockholders Equity</t>
  </si>
  <si>
    <t>Gains Losses Not Affecting Retained Earnings</t>
  </si>
  <si>
    <t>Other Equity Adjustments</t>
  </si>
  <si>
    <t>Retained Earnings</t>
  </si>
  <si>
    <t>Capital Stock</t>
  </si>
  <si>
    <t>Common Stock</t>
  </si>
  <si>
    <t>Total Liabilities Net Minority Interest</t>
  </si>
  <si>
    <t>Total Non Current Liabilities Net Minority Interest</t>
  </si>
  <si>
    <t>Other Non Current Liabilities</t>
  </si>
  <si>
    <t>Long Term Debt And Capital Lease Obligation</t>
  </si>
  <si>
    <t>Long Term Capital Lease Obligation</t>
  </si>
  <si>
    <t>Long Term Debt</t>
  </si>
  <si>
    <t>Current Liabilities</t>
  </si>
  <si>
    <t>Other Current Liabilities</t>
  </si>
  <si>
    <t>Current Deferred Liabilities</t>
  </si>
  <si>
    <t>Current Deferred Revenue</t>
  </si>
  <si>
    <t>Current Debt And Capital Lease Obligation</t>
  </si>
  <si>
    <t>Current Debt</t>
  </si>
  <si>
    <t>Other Current Borrowings</t>
  </si>
  <si>
    <t>Payables And Accrued Expenses</t>
  </si>
  <si>
    <t>Current Accrued Expenses</t>
  </si>
  <si>
    <t>Payables</t>
  </si>
  <si>
    <t>Total Tax Payable</t>
  </si>
  <si>
    <t>Accounts Payable</t>
  </si>
  <si>
    <t>Total Assets</t>
  </si>
  <si>
    <t>Total Non Current Assets</t>
  </si>
  <si>
    <t>Other Non Current Assets</t>
  </si>
  <si>
    <t>Non Current Deferred Assets</t>
  </si>
  <si>
    <t>Non Current Deferred Taxes Assets</t>
  </si>
  <si>
    <t>Investments And Advances</t>
  </si>
  <si>
    <t>Other Investments</t>
  </si>
  <si>
    <t>Net PPE</t>
  </si>
  <si>
    <t>Accumulated Depreciation</t>
  </si>
  <si>
    <t>Gross PPE</t>
  </si>
  <si>
    <t>Other Properties</t>
  </si>
  <si>
    <t>Machinery Furniture Equipment</t>
  </si>
  <si>
    <t>Land And Improvements</t>
  </si>
  <si>
    <t>Properties</t>
  </si>
  <si>
    <t>Current Assets</t>
  </si>
  <si>
    <t>Other Current Assets</t>
  </si>
  <si>
    <t>Inventory</t>
  </si>
  <si>
    <t>Receivables</t>
  </si>
  <si>
    <t>Other Receivables</t>
  </si>
  <si>
    <t>Accounts Receivable</t>
  </si>
  <si>
    <t>Cash Cash Equivalents And Short Term Investments</t>
  </si>
  <si>
    <t>Other Short Term Investments</t>
  </si>
  <si>
    <t>Cash And Cash Equivalents</t>
  </si>
  <si>
    <t>Cash Equivalents</t>
  </si>
  <si>
    <t>Cash Financial</t>
  </si>
  <si>
    <t>Free Cash Flow</t>
  </si>
  <si>
    <t>Repurchase Of Capital Stock</t>
  </si>
  <si>
    <t>Issuance Of Debt</t>
  </si>
  <si>
    <t>Issuance Of Capital Stock</t>
  </si>
  <si>
    <t>Capital Expenditure</t>
  </si>
  <si>
    <t>Interest Paid Supplemental Data</t>
  </si>
  <si>
    <t>Income Tax Paid Supplemental Data</t>
  </si>
  <si>
    <t>End Cash Position</t>
  </si>
  <si>
    <t>Beginning Cash Position</t>
  </si>
  <si>
    <t>Changes In Cash</t>
  </si>
  <si>
    <t>Financing Cash Flow</t>
  </si>
  <si>
    <t>Cash Flow From Continuing Financing Activities</t>
  </si>
  <si>
    <t>Net Other Financing Charges</t>
  </si>
  <si>
    <t>Net Common Stock Issuance</t>
  </si>
  <si>
    <t>Common Stock Payments</t>
  </si>
  <si>
    <t>Common Stock Issuance</t>
  </si>
  <si>
    <t>Net Issuance Payments Of Debt</t>
  </si>
  <si>
    <t>Net Long Term Debt Issuance</t>
  </si>
  <si>
    <t>Long Term Debt Issuance</t>
  </si>
  <si>
    <t>Investing Cash Flow</t>
  </si>
  <si>
    <t>Cash Flow From Continuing Investing Activities</t>
  </si>
  <si>
    <t>Net Other Investing Changes</t>
  </si>
  <si>
    <t>Net Investment Purchase And Sale</t>
  </si>
  <si>
    <t>Sale Of Investment</t>
  </si>
  <si>
    <t>Purchase Of Investment</t>
  </si>
  <si>
    <t>Net Business Purchase And Sale</t>
  </si>
  <si>
    <t>Purchase Of Business</t>
  </si>
  <si>
    <t>Net PPE Purchase And Sale</t>
  </si>
  <si>
    <t>Purchase Of PPE</t>
  </si>
  <si>
    <t>Operating Cash Flow</t>
  </si>
  <si>
    <t>Cash Flow From Continuing Operating Activities</t>
  </si>
  <si>
    <t>Change In Working Capital</t>
  </si>
  <si>
    <t>Change In Other Working Capital</t>
  </si>
  <si>
    <t>Change In Payables And Accrued Expense</t>
  </si>
  <si>
    <t>Change In Payable</t>
  </si>
  <si>
    <t>Change In Account Payable</t>
  </si>
  <si>
    <t>Change In Inventory</t>
  </si>
  <si>
    <t>Change In Receivables</t>
  </si>
  <si>
    <t>Other Non Cash Items</t>
  </si>
  <si>
    <t>Stock Based Compensation</t>
  </si>
  <si>
    <t>Deferred Tax</t>
  </si>
  <si>
    <t>Deferred Income Tax</t>
  </si>
  <si>
    <t>Depreciation Amortization Depletion</t>
  </si>
  <si>
    <t>Depreciation And Amortization</t>
  </si>
  <si>
    <t>Net Income From Continuing Operations</t>
  </si>
  <si>
    <t>2025-12-31</t>
  </si>
  <si>
    <t>2024-12-31</t>
  </si>
  <si>
    <t>2023-12-31</t>
  </si>
  <si>
    <t>2022-12-31</t>
  </si>
  <si>
    <t>2021-12-31</t>
  </si>
  <si>
    <t>Salaries And Wages</t>
  </si>
  <si>
    <t>Other Gand A</t>
  </si>
  <si>
    <t>General And Administrative Expense</t>
  </si>
  <si>
    <t>Selling And Marketing Expense</t>
  </si>
  <si>
    <t>Depreciation And Amortization In Income Statement</t>
  </si>
  <si>
    <t>Depreciation Amortization Depletion Income Statement</t>
  </si>
  <si>
    <t>Gain On Sale Of Security</t>
  </si>
  <si>
    <t>Total Unusual Items Excluding Goodwill</t>
  </si>
  <si>
    <t>Total Unusual Items</t>
  </si>
  <si>
    <t>Gross Accounts Receivable</t>
  </si>
  <si>
    <t>Allowance For Doubtful Accounts Receivable</t>
  </si>
  <si>
    <t>Raw Materials</t>
  </si>
  <si>
    <t>Finished Goods</t>
  </si>
  <si>
    <t>Prepaid Assets</t>
  </si>
  <si>
    <t>Buildings And Improvements</t>
  </si>
  <si>
    <t>Construction In Progress</t>
  </si>
  <si>
    <t>Goodwill</t>
  </si>
  <si>
    <t>Other Intangible Assets</t>
  </si>
  <si>
    <t>Goodwill And Other Intangible Assets</t>
  </si>
  <si>
    <t>Non Current Accounts Receivable</t>
  </si>
  <si>
    <t>Non Current Note Receivables</t>
  </si>
  <si>
    <t>Non Current Prepaid Assets</t>
  </si>
  <si>
    <t>Current Provisions</t>
  </si>
  <si>
    <t>Pensionand Other Post Retirement Benefit Plans Current</t>
  </si>
  <si>
    <t>Non Current Deferred Taxes Liabilities</t>
  </si>
  <si>
    <t>Non Current Deferred Revenue</t>
  </si>
  <si>
    <t>Non Current Deferred Liabilities</t>
  </si>
  <si>
    <t>Preferred Stock</t>
  </si>
  <si>
    <t>Additional Paid In Capital</t>
  </si>
  <si>
    <t>Treasury Stock</t>
  </si>
  <si>
    <t>Gain Loss On Sale Of PPE</t>
  </si>
  <si>
    <t>Gain Loss On Investment Securities</t>
  </si>
  <si>
    <t>Operating Gains Losses</t>
  </si>
  <si>
    <t>Provisionand Write Offof Assets</t>
  </si>
  <si>
    <t>Change In Prepaid Assets</t>
  </si>
  <si>
    <t>Sale Of PPE</t>
  </si>
  <si>
    <t>Purchase Of Intangibles</t>
  </si>
  <si>
    <t>Net Intangibles Purchase And Sale</t>
  </si>
  <si>
    <t>Proceeds From Stock Option Exercised</t>
  </si>
  <si>
    <t>Effect Of Exchange Rate Changes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</si>
</sst>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/>
  </cellStyleXfs>
  <cellXfs count="11">
    <xf numFmtId="0" fontId="0" fillId="0" borderId="0" xfId="0"/>
    <xf numFmtId="2" fontId="3" fillId="0" borderId="1" xfId="0" applyNumberFormat="1" applyFont="1" applyBorder="1"/>
    <xf numFmtId="2" fontId="3" fillId="0" borderId="2" xfId="0" applyNumberFormat="1" applyFont="1" applyBorder="1"/>
    <xf numFmtId="2" fontId="0" fillId="0" borderId="3" xfId="0" applyNumberFormat="1" applyBorder="1"/>
    <xf numFmtId="164" fontId="0" fillId="0" borderId="4" xfId="0" applyNumberFormat="1" applyBorder="1"/>
    <xf numFmtId="2" fontId="3" fillId="0" borderId="0" xfId="0" applyNumberFormat="1" applyFont="1"/>
    <xf numFmtId="2" fontId="0" fillId="0" borderId="0" xfId="0" applyNumberFormat="1"/>
    <xf numFmtId="9" fontId="2" fillId="2" borderId="0" xfId="1" applyFont="1" applyFill="1"/>
    <xf numFmtId="1" fontId="0" fillId="2" borderId="0" xfId="0" applyNumberFormat="1" applyFill="1"/>
    <xf numFmtId="9" fontId="0" fillId="0" borderId="0" xfId="1" applyFont="1"/>
    <xf numFmtId="0" fontId="4" fillId="0" borderId="0" xfId="0" applyFon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06/relationships/rdRichValueTypes" Target="richData/rdRichValueTypes.xml"/><Relationship Id="rId5" Type="http://schemas.openxmlformats.org/officeDocument/2006/relationships/theme" Target="theme/theme1.xml"/><Relationship Id="rId10" Type="http://schemas.microsoft.com/office/2017/06/relationships/rdRichValueStructure" Target="richData/rdrichvaluestructure.xml"/><Relationship Id="rId4" Type="http://schemas.openxmlformats.org/officeDocument/2006/relationships/worksheet" Target="worksheets/sheet4.xml"/><Relationship Id="rId9" Type="http://schemas.microsoft.com/office/2017/06/relationships/rdRichValue" Target="richData/rdrichvalue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12</v>
    <v>Price</v>
    <v>0</v>
  </rv>
  <rv s="0">
    <v>12</v>
    <v>Market cap</v>
    <v>0</v>
  </rv>
</rvData>
</file>

<file path=xl/richData/rdrichvaluestructure.xml><?xml version="1.0" encoding="utf-8"?>
<rvStructures xmlns="http://schemas.microsoft.com/office/spreadsheetml/2017/richdata" count="1">
  <s t="_error">
    <k n="errorType" t="i"/>
    <k n="field" t="s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9"/>
  <sheetViews>
    <sheetView workbookViewId="0"/>
  </sheetViews>
  <sheetFormatPr baseColWidth="10" defaultColWidth="8.83203125" defaultRowHeight="15" x14ac:dyDescent="0.2"/>
  <cols>
    <col min="1" max="1" width="35" customWidth="1"/>
  </cols>
  <sheetData>
    <row r="1" spans="1:6" x14ac:dyDescent="0.2">
      <c r="B1" s="10" t="s">
        <v>151</v>
      </c>
      <c r="C1" s="10" t="s">
        <v>152</v>
      </c>
      <c r="D1" s="10" t="s">
        <v>153</v>
      </c>
      <c r="E1" s="10" t="s">
        <v>154</v>
      </c>
      <c r="F1" s="10" t="s">
        <v>155</v>
      </c>
    </row>
    <row r="2" spans="1:6" x14ac:dyDescent="0.2">
      <c r="A2" t="s">
        <v>43</v>
      </c>
      <c r="B2">
        <v>2779536000</v>
      </c>
      <c r="C2">
        <v>2082526000</v>
      </c>
      <c r="D2">
        <v>1560699000</v>
      </c>
      <c r="E2">
        <v>1187143000</v>
      </c>
    </row>
    <row r="3" spans="1:6" x14ac:dyDescent="0.2">
      <c r="A3" t="s">
        <v>42</v>
      </c>
      <c r="B3">
        <v>2779536000</v>
      </c>
      <c r="C3">
        <v>2082526000</v>
      </c>
      <c r="D3">
        <v>1560699000</v>
      </c>
      <c r="E3">
        <v>1187143000</v>
      </c>
    </row>
    <row r="4" spans="1:6" x14ac:dyDescent="0.2">
      <c r="A4" t="s">
        <v>41</v>
      </c>
      <c r="B4">
        <v>1121411000</v>
      </c>
      <c r="C4">
        <v>841146000</v>
      </c>
      <c r="D4">
        <v>605246000</v>
      </c>
      <c r="E4">
        <v>461030000</v>
      </c>
    </row>
    <row r="5" spans="1:6" x14ac:dyDescent="0.2">
      <c r="A5" t="s">
        <v>40</v>
      </c>
      <c r="D5">
        <v>955453000</v>
      </c>
      <c r="E5">
        <v>726113000</v>
      </c>
    </row>
    <row r="6" spans="1:6" x14ac:dyDescent="0.2">
      <c r="A6" t="s">
        <v>156</v>
      </c>
      <c r="C6">
        <v>441700000</v>
      </c>
      <c r="D6">
        <v>273633000</v>
      </c>
      <c r="E6">
        <v>212237000</v>
      </c>
      <c r="F6">
        <v>378888000</v>
      </c>
    </row>
    <row r="7" spans="1:6" x14ac:dyDescent="0.2">
      <c r="A7" t="s">
        <v>157</v>
      </c>
      <c r="C7">
        <v>190593000</v>
      </c>
      <c r="D7">
        <v>131525000</v>
      </c>
      <c r="E7">
        <v>116887000</v>
      </c>
      <c r="F7">
        <v>74237000</v>
      </c>
    </row>
    <row r="8" spans="1:6" x14ac:dyDescent="0.2">
      <c r="A8" t="s">
        <v>158</v>
      </c>
      <c r="C8">
        <v>632293000</v>
      </c>
      <c r="D8">
        <v>405158000</v>
      </c>
      <c r="E8">
        <v>329124000</v>
      </c>
      <c r="F8">
        <v>453125000</v>
      </c>
    </row>
    <row r="9" spans="1:6" x14ac:dyDescent="0.2">
      <c r="A9" t="s">
        <v>159</v>
      </c>
      <c r="C9">
        <v>108954000</v>
      </c>
      <c r="D9">
        <v>91716000</v>
      </c>
      <c r="E9">
        <v>72451000</v>
      </c>
      <c r="F9">
        <v>52058000</v>
      </c>
    </row>
    <row r="10" spans="1:6" x14ac:dyDescent="0.2">
      <c r="A10" t="s">
        <v>39</v>
      </c>
      <c r="B10">
        <v>1035893000</v>
      </c>
      <c r="C10">
        <v>741247000</v>
      </c>
      <c r="D10">
        <v>494884000</v>
      </c>
      <c r="E10">
        <v>399330000</v>
      </c>
    </row>
    <row r="11" spans="1:6" x14ac:dyDescent="0.2">
      <c r="A11" t="s">
        <v>38</v>
      </c>
      <c r="B11">
        <v>684308000</v>
      </c>
      <c r="C11">
        <v>441593000</v>
      </c>
      <c r="D11">
        <v>303719000</v>
      </c>
      <c r="E11">
        <v>233810000</v>
      </c>
    </row>
    <row r="12" spans="1:6" x14ac:dyDescent="0.2">
      <c r="A12" t="s">
        <v>160</v>
      </c>
      <c r="F12">
        <v>9824000</v>
      </c>
    </row>
    <row r="13" spans="1:6" x14ac:dyDescent="0.2">
      <c r="A13" t="s">
        <v>161</v>
      </c>
      <c r="F13">
        <v>9824000</v>
      </c>
    </row>
    <row r="14" spans="1:6" x14ac:dyDescent="0.2">
      <c r="A14" t="s">
        <v>37</v>
      </c>
      <c r="B14">
        <v>1720201000</v>
      </c>
      <c r="C14">
        <v>1182840000</v>
      </c>
      <c r="D14">
        <v>798603000</v>
      </c>
      <c r="E14">
        <v>633140000</v>
      </c>
    </row>
    <row r="15" spans="1:6" x14ac:dyDescent="0.2">
      <c r="A15" t="s">
        <v>36</v>
      </c>
      <c r="B15">
        <v>-62076000</v>
      </c>
      <c r="C15">
        <v>58540000</v>
      </c>
      <c r="D15">
        <v>156850000</v>
      </c>
      <c r="E15">
        <v>92973000</v>
      </c>
    </row>
    <row r="16" spans="1:6" x14ac:dyDescent="0.2">
      <c r="A16" t="s">
        <v>35</v>
      </c>
      <c r="B16">
        <v>75431000</v>
      </c>
      <c r="C16">
        <v>43693000</v>
      </c>
      <c r="D16">
        <v>49107000</v>
      </c>
      <c r="E16">
        <v>4294000</v>
      </c>
    </row>
    <row r="17" spans="1:5" x14ac:dyDescent="0.2">
      <c r="A17" t="s">
        <v>34</v>
      </c>
      <c r="B17">
        <v>94238000</v>
      </c>
      <c r="C17">
        <v>7098000</v>
      </c>
      <c r="D17">
        <v>6995000</v>
      </c>
      <c r="E17">
        <v>488000</v>
      </c>
    </row>
    <row r="18" spans="1:5" x14ac:dyDescent="0.2">
      <c r="A18" t="s">
        <v>33</v>
      </c>
      <c r="B18">
        <v>-18807000</v>
      </c>
      <c r="C18">
        <v>36595000</v>
      </c>
      <c r="D18">
        <v>42112000</v>
      </c>
      <c r="E18">
        <v>4294000</v>
      </c>
    </row>
    <row r="19" spans="1:5" x14ac:dyDescent="0.2">
      <c r="A19" t="s">
        <v>162</v>
      </c>
      <c r="B19">
        <v>138516000</v>
      </c>
      <c r="C19">
        <v>286680000</v>
      </c>
      <c r="D19">
        <v>-42289000</v>
      </c>
      <c r="E19">
        <v>98054000</v>
      </c>
    </row>
    <row r="20" spans="1:5" x14ac:dyDescent="0.2">
      <c r="A20" t="s">
        <v>32</v>
      </c>
      <c r="B20">
        <v>-38659000</v>
      </c>
      <c r="C20">
        <v>-311000</v>
      </c>
      <c r="D20">
        <v>-41901000</v>
      </c>
      <c r="E20">
        <v>98971000</v>
      </c>
    </row>
    <row r="21" spans="1:5" x14ac:dyDescent="0.2">
      <c r="A21" t="s">
        <v>31</v>
      </c>
      <c r="B21">
        <v>99857000</v>
      </c>
      <c r="C21">
        <v>286369000</v>
      </c>
      <c r="D21">
        <v>-41901000</v>
      </c>
      <c r="E21">
        <v>98971000</v>
      </c>
    </row>
    <row r="22" spans="1:5" x14ac:dyDescent="0.2">
      <c r="A22" t="s">
        <v>30</v>
      </c>
      <c r="B22">
        <v>18974000</v>
      </c>
      <c r="C22">
        <v>381504000</v>
      </c>
      <c r="D22">
        <v>157061000</v>
      </c>
      <c r="E22">
        <v>196238000</v>
      </c>
    </row>
    <row r="23" spans="1:5" x14ac:dyDescent="0.2">
      <c r="A23" t="s">
        <v>29</v>
      </c>
      <c r="B23">
        <v>-105682000</v>
      </c>
      <c r="C23">
        <v>4470000</v>
      </c>
      <c r="D23">
        <v>-18722000</v>
      </c>
      <c r="E23">
        <v>49308000</v>
      </c>
    </row>
    <row r="24" spans="1:5" x14ac:dyDescent="0.2">
      <c r="A24" t="s">
        <v>28</v>
      </c>
      <c r="B24">
        <v>124656000</v>
      </c>
      <c r="C24">
        <v>377034000</v>
      </c>
      <c r="D24">
        <v>175783000</v>
      </c>
      <c r="E24">
        <v>146930000</v>
      </c>
    </row>
    <row r="25" spans="1:5" x14ac:dyDescent="0.2">
      <c r="A25" t="s">
        <v>27</v>
      </c>
      <c r="B25">
        <v>124656000</v>
      </c>
      <c r="C25">
        <v>377034000</v>
      </c>
      <c r="D25">
        <v>175783000</v>
      </c>
      <c r="E25">
        <v>146930000</v>
      </c>
    </row>
    <row r="26" spans="1:5" x14ac:dyDescent="0.2">
      <c r="A26" t="s">
        <v>26</v>
      </c>
      <c r="B26">
        <v>124656000</v>
      </c>
      <c r="C26">
        <v>377034000</v>
      </c>
      <c r="D26">
        <v>175783000</v>
      </c>
      <c r="E26">
        <v>146930000</v>
      </c>
    </row>
    <row r="27" spans="1:5" x14ac:dyDescent="0.2">
      <c r="A27" t="s">
        <v>25</v>
      </c>
      <c r="B27">
        <v>124656000</v>
      </c>
      <c r="C27">
        <v>377034000</v>
      </c>
      <c r="D27">
        <v>175783000</v>
      </c>
      <c r="E27">
        <v>146930000</v>
      </c>
    </row>
    <row r="28" spans="1:5" x14ac:dyDescent="0.2">
      <c r="A28" t="s">
        <v>24</v>
      </c>
      <c r="B28">
        <v>124656000</v>
      </c>
      <c r="C28">
        <v>377034000</v>
      </c>
      <c r="D28">
        <v>175783000</v>
      </c>
      <c r="E28">
        <v>146930000</v>
      </c>
    </row>
    <row r="29" spans="1:5" x14ac:dyDescent="0.2">
      <c r="A29" t="s">
        <v>23</v>
      </c>
      <c r="B29">
        <v>1.6</v>
      </c>
      <c r="C29">
        <v>4.9800000000000004</v>
      </c>
      <c r="D29">
        <v>2.35</v>
      </c>
      <c r="E29">
        <v>2.0699999999999998</v>
      </c>
    </row>
    <row r="30" spans="1:5" x14ac:dyDescent="0.2">
      <c r="A30" t="s">
        <v>22</v>
      </c>
      <c r="B30">
        <v>1.51</v>
      </c>
      <c r="C30">
        <v>4.8</v>
      </c>
      <c r="D30">
        <v>2.31</v>
      </c>
      <c r="E30">
        <v>2.0299999999999998</v>
      </c>
    </row>
    <row r="31" spans="1:5" x14ac:dyDescent="0.2">
      <c r="A31" t="s">
        <v>21</v>
      </c>
      <c r="B31">
        <v>78081000</v>
      </c>
      <c r="C31">
        <v>75748000</v>
      </c>
      <c r="D31">
        <v>74195000</v>
      </c>
      <c r="E31">
        <v>71093000</v>
      </c>
    </row>
    <row r="32" spans="1:5" x14ac:dyDescent="0.2">
      <c r="A32" t="s">
        <v>20</v>
      </c>
      <c r="B32">
        <v>82370000</v>
      </c>
      <c r="C32">
        <v>78558000</v>
      </c>
      <c r="D32">
        <v>75456000</v>
      </c>
      <c r="E32">
        <v>72534000</v>
      </c>
    </row>
    <row r="33" spans="1:5" x14ac:dyDescent="0.2">
      <c r="A33" t="s">
        <v>19</v>
      </c>
      <c r="B33">
        <v>-62076000</v>
      </c>
      <c r="C33">
        <v>58540000</v>
      </c>
      <c r="D33">
        <v>156850000</v>
      </c>
      <c r="E33">
        <v>92973000</v>
      </c>
    </row>
    <row r="34" spans="1:5" x14ac:dyDescent="0.2">
      <c r="A34" t="s">
        <v>18</v>
      </c>
      <c r="B34">
        <v>2841612000</v>
      </c>
      <c r="C34">
        <v>2023986000</v>
      </c>
      <c r="D34">
        <v>1403849000</v>
      </c>
      <c r="E34">
        <v>1094170000</v>
      </c>
    </row>
    <row r="35" spans="1:5" x14ac:dyDescent="0.2">
      <c r="A35" t="s">
        <v>17</v>
      </c>
      <c r="B35">
        <v>124656000</v>
      </c>
      <c r="C35">
        <v>377034000</v>
      </c>
      <c r="D35">
        <v>175783000</v>
      </c>
      <c r="E35">
        <v>146930000</v>
      </c>
    </row>
    <row r="36" spans="1:5" x14ac:dyDescent="0.2">
      <c r="A36" t="s">
        <v>16</v>
      </c>
      <c r="B36">
        <v>15228360</v>
      </c>
      <c r="C36">
        <v>93794160</v>
      </c>
      <c r="D36">
        <v>175783000</v>
      </c>
      <c r="E36">
        <v>146930000</v>
      </c>
    </row>
    <row r="37" spans="1:5" x14ac:dyDescent="0.2">
      <c r="A37" t="s">
        <v>15</v>
      </c>
      <c r="B37">
        <v>75431000</v>
      </c>
      <c r="C37">
        <v>43693000</v>
      </c>
      <c r="D37">
        <v>49107000</v>
      </c>
      <c r="E37">
        <v>4294000</v>
      </c>
    </row>
    <row r="38" spans="1:5" x14ac:dyDescent="0.2">
      <c r="A38" t="s">
        <v>14</v>
      </c>
      <c r="B38">
        <v>94238000</v>
      </c>
      <c r="C38">
        <v>7098000</v>
      </c>
      <c r="D38">
        <v>6995000</v>
      </c>
      <c r="E38">
        <v>488000</v>
      </c>
    </row>
    <row r="39" spans="1:5" x14ac:dyDescent="0.2">
      <c r="A39" t="s">
        <v>13</v>
      </c>
      <c r="B39">
        <v>-18807000</v>
      </c>
      <c r="C39">
        <v>36595000</v>
      </c>
      <c r="D39">
        <v>42112000</v>
      </c>
      <c r="E39">
        <v>4294000</v>
      </c>
    </row>
    <row r="40" spans="1:5" x14ac:dyDescent="0.2">
      <c r="A40" t="s">
        <v>12</v>
      </c>
      <c r="B40">
        <v>113212000</v>
      </c>
      <c r="C40">
        <v>388602000</v>
      </c>
      <c r="D40">
        <v>164056000</v>
      </c>
      <c r="E40">
        <v>92973000</v>
      </c>
    </row>
    <row r="41" spans="1:5" x14ac:dyDescent="0.2">
      <c r="A41" t="s">
        <v>11</v>
      </c>
      <c r="B41">
        <v>196373000</v>
      </c>
      <c r="C41">
        <v>437027000</v>
      </c>
      <c r="D41">
        <v>183371000</v>
      </c>
      <c r="E41">
        <v>116089000</v>
      </c>
    </row>
    <row r="42" spans="1:5" x14ac:dyDescent="0.2">
      <c r="A42" t="s">
        <v>10</v>
      </c>
      <c r="B42">
        <v>1121411000</v>
      </c>
      <c r="C42">
        <v>841146000</v>
      </c>
      <c r="D42">
        <v>605246000</v>
      </c>
      <c r="E42">
        <v>461030000</v>
      </c>
    </row>
    <row r="43" spans="1:5" x14ac:dyDescent="0.2">
      <c r="A43" t="s">
        <v>9</v>
      </c>
      <c r="B43">
        <v>83161000</v>
      </c>
      <c r="C43">
        <v>48425000</v>
      </c>
      <c r="D43">
        <v>19315000</v>
      </c>
      <c r="E43">
        <v>23116000</v>
      </c>
    </row>
    <row r="44" spans="1:5" x14ac:dyDescent="0.2">
      <c r="A44" t="s">
        <v>8</v>
      </c>
      <c r="B44">
        <v>124656000</v>
      </c>
      <c r="C44">
        <v>377034000</v>
      </c>
      <c r="D44">
        <v>175783000</v>
      </c>
      <c r="E44">
        <v>146930000</v>
      </c>
    </row>
    <row r="45" spans="1:5" x14ac:dyDescent="0.2">
      <c r="A45" t="s">
        <v>163</v>
      </c>
      <c r="B45">
        <v>138516000</v>
      </c>
      <c r="C45">
        <v>286680000</v>
      </c>
      <c r="D45">
        <v>-42289000</v>
      </c>
      <c r="E45">
        <v>98054000</v>
      </c>
    </row>
    <row r="46" spans="1:5" x14ac:dyDescent="0.2">
      <c r="A46" t="s">
        <v>164</v>
      </c>
      <c r="B46">
        <v>138516000</v>
      </c>
      <c r="C46">
        <v>286680000</v>
      </c>
      <c r="D46">
        <v>-42289000</v>
      </c>
      <c r="E46">
        <v>98054000</v>
      </c>
    </row>
    <row r="47" spans="1:5" x14ac:dyDescent="0.2">
      <c r="A47" t="s">
        <v>7</v>
      </c>
      <c r="B47">
        <v>57857000</v>
      </c>
      <c r="C47">
        <v>150347000</v>
      </c>
      <c r="D47">
        <v>183371000</v>
      </c>
      <c r="E47">
        <v>116089000</v>
      </c>
    </row>
    <row r="48" spans="1:5" x14ac:dyDescent="0.2">
      <c r="A48" t="s">
        <v>6</v>
      </c>
      <c r="B48">
        <v>0.21</v>
      </c>
      <c r="C48">
        <v>1.2E-2</v>
      </c>
      <c r="D48">
        <v>0.21</v>
      </c>
      <c r="E48">
        <v>0.251</v>
      </c>
    </row>
    <row r="49" spans="1:5" x14ac:dyDescent="0.2">
      <c r="A49" t="s">
        <v>5</v>
      </c>
      <c r="B49">
        <v>29088360</v>
      </c>
      <c r="C49">
        <v>3440160</v>
      </c>
      <c r="D49">
        <v>0</v>
      </c>
      <c r="E49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84"/>
  <sheetViews>
    <sheetView workbookViewId="0"/>
  </sheetViews>
  <sheetFormatPr baseColWidth="10" defaultColWidth="8.83203125" defaultRowHeight="15" x14ac:dyDescent="0.2"/>
  <cols>
    <col min="1" max="1" width="35" customWidth="1"/>
  </cols>
  <sheetData>
    <row r="1" spans="1:6" x14ac:dyDescent="0.2">
      <c r="B1" s="10" t="s">
        <v>151</v>
      </c>
      <c r="C1" s="10" t="s">
        <v>152</v>
      </c>
      <c r="D1" s="10" t="s">
        <v>153</v>
      </c>
      <c r="E1" s="10" t="s">
        <v>154</v>
      </c>
      <c r="F1" s="10" t="s">
        <v>155</v>
      </c>
    </row>
    <row r="2" spans="1:6" x14ac:dyDescent="0.2">
      <c r="A2" t="s">
        <v>105</v>
      </c>
      <c r="B2">
        <v>168294000</v>
      </c>
      <c r="C2">
        <v>94919000</v>
      </c>
      <c r="D2">
        <v>406743000</v>
      </c>
      <c r="E2">
        <v>143744000</v>
      </c>
    </row>
    <row r="3" spans="1:6" x14ac:dyDescent="0.2">
      <c r="A3" t="s">
        <v>104</v>
      </c>
      <c r="B3">
        <v>1032853000</v>
      </c>
      <c r="C3">
        <v>359925000</v>
      </c>
      <c r="D3">
        <v>191802000</v>
      </c>
      <c r="E3">
        <v>209940000</v>
      </c>
    </row>
    <row r="4" spans="1:6" x14ac:dyDescent="0.2">
      <c r="A4" t="s">
        <v>103</v>
      </c>
      <c r="B4">
        <v>1201147000</v>
      </c>
      <c r="C4">
        <v>454844000</v>
      </c>
      <c r="D4">
        <v>598545000</v>
      </c>
      <c r="E4">
        <v>353684000</v>
      </c>
    </row>
    <row r="5" spans="1:6" x14ac:dyDescent="0.2">
      <c r="A5" t="s">
        <v>102</v>
      </c>
      <c r="B5">
        <v>532630000</v>
      </c>
      <c r="C5">
        <v>531505000</v>
      </c>
      <c r="D5">
        <v>721994000</v>
      </c>
      <c r="E5">
        <v>621009000</v>
      </c>
    </row>
    <row r="6" spans="1:6" x14ac:dyDescent="0.2">
      <c r="A6" t="s">
        <v>101</v>
      </c>
      <c r="B6">
        <v>1733777000</v>
      </c>
      <c r="C6">
        <v>986349000</v>
      </c>
      <c r="D6">
        <v>1320539000</v>
      </c>
      <c r="E6">
        <v>974693000</v>
      </c>
    </row>
    <row r="7" spans="1:6" x14ac:dyDescent="0.2">
      <c r="A7" t="s">
        <v>165</v>
      </c>
      <c r="B7">
        <v>781684000</v>
      </c>
      <c r="C7">
        <v>550894000</v>
      </c>
      <c r="D7">
        <v>415353000</v>
      </c>
      <c r="E7">
        <v>360366000</v>
      </c>
    </row>
    <row r="8" spans="1:6" x14ac:dyDescent="0.2">
      <c r="A8" t="s">
        <v>166</v>
      </c>
      <c r="B8">
        <v>-4198000</v>
      </c>
      <c r="C8">
        <v>-3322000</v>
      </c>
      <c r="D8">
        <v>-2392000</v>
      </c>
      <c r="E8">
        <v>-2176000</v>
      </c>
    </row>
    <row r="9" spans="1:6" x14ac:dyDescent="0.2">
      <c r="A9" t="s">
        <v>100</v>
      </c>
      <c r="B9">
        <v>777486000</v>
      </c>
      <c r="C9">
        <v>547572000</v>
      </c>
      <c r="D9">
        <v>412961000</v>
      </c>
      <c r="E9">
        <v>358190000</v>
      </c>
    </row>
    <row r="10" spans="1:6" x14ac:dyDescent="0.2">
      <c r="A10" t="s">
        <v>99</v>
      </c>
      <c r="B10">
        <v>582630000</v>
      </c>
      <c r="C10">
        <v>367929000</v>
      </c>
      <c r="D10">
        <v>287232000</v>
      </c>
      <c r="E10">
        <v>196902000</v>
      </c>
    </row>
    <row r="11" spans="1:6" x14ac:dyDescent="0.2">
      <c r="A11" t="s">
        <v>98</v>
      </c>
      <c r="B11">
        <v>1360116000</v>
      </c>
      <c r="C11">
        <v>915501000</v>
      </c>
      <c r="D11">
        <v>700193000</v>
      </c>
      <c r="E11">
        <v>555092000</v>
      </c>
    </row>
    <row r="12" spans="1:6" x14ac:dyDescent="0.2">
      <c r="A12" t="s">
        <v>167</v>
      </c>
      <c r="B12">
        <v>152680000</v>
      </c>
      <c r="C12">
        <v>86840000</v>
      </c>
      <c r="D12">
        <v>104112000</v>
      </c>
      <c r="E12">
        <v>72740000</v>
      </c>
    </row>
    <row r="13" spans="1:6" x14ac:dyDescent="0.2">
      <c r="A13" t="s">
        <v>168</v>
      </c>
      <c r="B13">
        <v>180265000</v>
      </c>
      <c r="C13">
        <v>172246000</v>
      </c>
      <c r="D13">
        <v>165743000</v>
      </c>
      <c r="E13">
        <v>129731000</v>
      </c>
    </row>
    <row r="14" spans="1:6" x14ac:dyDescent="0.2">
      <c r="A14" t="s">
        <v>97</v>
      </c>
      <c r="B14">
        <v>341811000</v>
      </c>
      <c r="C14">
        <v>265316000</v>
      </c>
      <c r="D14">
        <v>269855000</v>
      </c>
      <c r="E14">
        <v>202471000</v>
      </c>
    </row>
    <row r="15" spans="1:6" x14ac:dyDescent="0.2">
      <c r="A15" t="s">
        <v>169</v>
      </c>
      <c r="F15">
        <v>56540000</v>
      </c>
    </row>
    <row r="16" spans="1:6" x14ac:dyDescent="0.2">
      <c r="A16" t="s">
        <v>96</v>
      </c>
      <c r="B16">
        <v>277348000</v>
      </c>
      <c r="C16">
        <v>130315000</v>
      </c>
      <c r="D16">
        <v>103055000</v>
      </c>
      <c r="E16">
        <v>73022000</v>
      </c>
    </row>
    <row r="17" spans="1:5" x14ac:dyDescent="0.2">
      <c r="A17" t="s">
        <v>95</v>
      </c>
      <c r="B17">
        <v>3713052000</v>
      </c>
      <c r="C17">
        <v>2297481000</v>
      </c>
      <c r="D17">
        <v>2393642000</v>
      </c>
      <c r="E17">
        <v>1805278000</v>
      </c>
    </row>
    <row r="18" spans="1:5" x14ac:dyDescent="0.2">
      <c r="A18" t="s">
        <v>94</v>
      </c>
      <c r="B18">
        <v>0</v>
      </c>
      <c r="C18">
        <v>0</v>
      </c>
      <c r="D18">
        <v>0</v>
      </c>
      <c r="E18">
        <v>0</v>
      </c>
    </row>
    <row r="19" spans="1:5" x14ac:dyDescent="0.2">
      <c r="A19" t="s">
        <v>93</v>
      </c>
      <c r="B19">
        <v>51612000</v>
      </c>
      <c r="C19">
        <v>51612000</v>
      </c>
      <c r="D19">
        <v>51612000</v>
      </c>
      <c r="E19">
        <v>51612000</v>
      </c>
    </row>
    <row r="20" spans="1:5" x14ac:dyDescent="0.2">
      <c r="A20" t="s">
        <v>170</v>
      </c>
      <c r="B20">
        <v>62373000</v>
      </c>
      <c r="C20">
        <v>52065000</v>
      </c>
      <c r="D20">
        <v>32092000</v>
      </c>
      <c r="E20">
        <v>25874000</v>
      </c>
    </row>
    <row r="21" spans="1:5" x14ac:dyDescent="0.2">
      <c r="A21" t="s">
        <v>92</v>
      </c>
      <c r="B21">
        <v>71784000</v>
      </c>
      <c r="C21">
        <v>68532000</v>
      </c>
      <c r="D21">
        <v>61411000</v>
      </c>
      <c r="E21">
        <v>50799000</v>
      </c>
    </row>
    <row r="22" spans="1:5" x14ac:dyDescent="0.2">
      <c r="A22" t="s">
        <v>91</v>
      </c>
      <c r="B22">
        <v>328390000</v>
      </c>
      <c r="C22">
        <v>193489000</v>
      </c>
      <c r="D22">
        <v>141400000</v>
      </c>
      <c r="E22">
        <v>95540000</v>
      </c>
    </row>
    <row r="23" spans="1:5" x14ac:dyDescent="0.2">
      <c r="A23" t="s">
        <v>171</v>
      </c>
      <c r="B23">
        <v>97574000</v>
      </c>
      <c r="C23">
        <v>62178000</v>
      </c>
      <c r="D23">
        <v>55397000</v>
      </c>
      <c r="E23">
        <v>62283000</v>
      </c>
    </row>
    <row r="24" spans="1:5" x14ac:dyDescent="0.2">
      <c r="A24" t="s">
        <v>90</v>
      </c>
      <c r="B24">
        <v>611733000</v>
      </c>
      <c r="C24">
        <v>427876000</v>
      </c>
      <c r="D24">
        <v>341912000</v>
      </c>
      <c r="E24">
        <v>286108000</v>
      </c>
    </row>
    <row r="25" spans="1:5" x14ac:dyDescent="0.2">
      <c r="A25" t="s">
        <v>89</v>
      </c>
      <c r="B25">
        <v>-181241000</v>
      </c>
      <c r="C25">
        <v>-135985000</v>
      </c>
      <c r="D25">
        <v>-105224000</v>
      </c>
      <c r="E25">
        <v>-77895000</v>
      </c>
    </row>
    <row r="26" spans="1:5" x14ac:dyDescent="0.2">
      <c r="A26" t="s">
        <v>88</v>
      </c>
      <c r="B26">
        <v>430492000</v>
      </c>
      <c r="C26">
        <v>291891000</v>
      </c>
      <c r="D26">
        <v>236688000</v>
      </c>
      <c r="E26">
        <v>208213000</v>
      </c>
    </row>
    <row r="27" spans="1:5" x14ac:dyDescent="0.2">
      <c r="A27" t="s">
        <v>172</v>
      </c>
      <c r="B27">
        <v>1370189000</v>
      </c>
      <c r="C27">
        <v>756838000</v>
      </c>
      <c r="D27">
        <v>57945000</v>
      </c>
      <c r="E27">
        <v>44983000</v>
      </c>
    </row>
    <row r="28" spans="1:5" x14ac:dyDescent="0.2">
      <c r="A28" t="s">
        <v>173</v>
      </c>
      <c r="B28">
        <v>196972000</v>
      </c>
      <c r="C28">
        <v>175157000</v>
      </c>
      <c r="D28">
        <v>19539000</v>
      </c>
      <c r="E28">
        <v>12158000</v>
      </c>
    </row>
    <row r="29" spans="1:5" x14ac:dyDescent="0.2">
      <c r="A29" t="s">
        <v>174</v>
      </c>
      <c r="B29">
        <v>1567161000</v>
      </c>
      <c r="C29">
        <v>931995000</v>
      </c>
      <c r="D29">
        <v>77484000</v>
      </c>
      <c r="E29">
        <v>57141000</v>
      </c>
    </row>
    <row r="30" spans="1:5" x14ac:dyDescent="0.2">
      <c r="A30" t="s">
        <v>87</v>
      </c>
      <c r="B30">
        <v>416833000</v>
      </c>
      <c r="C30">
        <v>332550000</v>
      </c>
      <c r="D30">
        <v>231730000</v>
      </c>
      <c r="E30">
        <v>452770000</v>
      </c>
    </row>
    <row r="31" spans="1:5" x14ac:dyDescent="0.2">
      <c r="A31" t="s">
        <v>86</v>
      </c>
      <c r="B31">
        <v>416833000</v>
      </c>
      <c r="C31">
        <v>332550000</v>
      </c>
      <c r="D31">
        <v>231730000</v>
      </c>
      <c r="E31">
        <v>452770000</v>
      </c>
    </row>
    <row r="32" spans="1:5" x14ac:dyDescent="0.2">
      <c r="A32" t="s">
        <v>175</v>
      </c>
      <c r="B32">
        <v>178249000</v>
      </c>
      <c r="C32">
        <v>119876000</v>
      </c>
      <c r="D32">
        <v>84382000</v>
      </c>
      <c r="E32">
        <v>45170000</v>
      </c>
    </row>
    <row r="33" spans="1:6" x14ac:dyDescent="0.2">
      <c r="A33" t="s">
        <v>176</v>
      </c>
      <c r="B33">
        <v>6066000</v>
      </c>
      <c r="C33">
        <v>3460000</v>
      </c>
      <c r="D33">
        <v>2588000</v>
      </c>
      <c r="E33">
        <v>5210000</v>
      </c>
    </row>
    <row r="34" spans="1:6" x14ac:dyDescent="0.2">
      <c r="A34" t="s">
        <v>85</v>
      </c>
      <c r="B34">
        <v>359803000</v>
      </c>
      <c r="C34">
        <v>304282000</v>
      </c>
      <c r="D34">
        <v>227784000</v>
      </c>
      <c r="E34">
        <v>156866000</v>
      </c>
    </row>
    <row r="35" spans="1:6" x14ac:dyDescent="0.2">
      <c r="A35" t="s">
        <v>84</v>
      </c>
      <c r="B35">
        <v>634788000</v>
      </c>
      <c r="C35">
        <v>473299000</v>
      </c>
      <c r="D35">
        <v>363431000</v>
      </c>
      <c r="E35">
        <v>264599000</v>
      </c>
    </row>
    <row r="36" spans="1:6" x14ac:dyDescent="0.2">
      <c r="A36" t="s">
        <v>177</v>
      </c>
      <c r="B36">
        <v>28066000</v>
      </c>
      <c r="C36">
        <v>6944000</v>
      </c>
      <c r="F36">
        <v>11701000</v>
      </c>
    </row>
    <row r="37" spans="1:6" x14ac:dyDescent="0.2">
      <c r="A37" t="s">
        <v>83</v>
      </c>
      <c r="B37">
        <v>25606000</v>
      </c>
      <c r="C37">
        <v>17092000</v>
      </c>
      <c r="D37">
        <v>19229000</v>
      </c>
      <c r="E37">
        <v>13513000</v>
      </c>
    </row>
    <row r="38" spans="1:6" x14ac:dyDescent="0.2">
      <c r="A38" t="s">
        <v>82</v>
      </c>
      <c r="B38">
        <v>3287261000</v>
      </c>
      <c r="C38">
        <v>2177107000</v>
      </c>
      <c r="D38">
        <v>1015532000</v>
      </c>
      <c r="E38">
        <v>1046616000</v>
      </c>
    </row>
    <row r="39" spans="1:6" x14ac:dyDescent="0.2">
      <c r="A39" t="s">
        <v>81</v>
      </c>
      <c r="B39">
        <v>7000313000</v>
      </c>
      <c r="C39">
        <v>4474588000</v>
      </c>
      <c r="D39">
        <v>3409174000</v>
      </c>
      <c r="E39">
        <v>2851894000</v>
      </c>
    </row>
    <row r="40" spans="1:6" x14ac:dyDescent="0.2">
      <c r="A40" t="s">
        <v>80</v>
      </c>
      <c r="B40">
        <v>139086000</v>
      </c>
      <c r="C40">
        <v>71955000</v>
      </c>
      <c r="D40">
        <v>65852000</v>
      </c>
      <c r="E40">
        <v>59918000</v>
      </c>
    </row>
    <row r="41" spans="1:6" x14ac:dyDescent="0.2">
      <c r="A41" t="s">
        <v>79</v>
      </c>
      <c r="B41">
        <v>27339000</v>
      </c>
      <c r="C41">
        <v>27863000</v>
      </c>
      <c r="D41">
        <v>5784000</v>
      </c>
      <c r="E41">
        <v>13559000</v>
      </c>
    </row>
    <row r="42" spans="1:6" x14ac:dyDescent="0.2">
      <c r="A42" t="s">
        <v>78</v>
      </c>
      <c r="B42">
        <v>166425000</v>
      </c>
      <c r="C42">
        <v>99818000</v>
      </c>
      <c r="D42">
        <v>71636000</v>
      </c>
      <c r="E42">
        <v>73477000</v>
      </c>
    </row>
    <row r="43" spans="1:6" x14ac:dyDescent="0.2">
      <c r="A43" t="s">
        <v>77</v>
      </c>
      <c r="B43">
        <v>404796000</v>
      </c>
      <c r="C43">
        <v>103313000</v>
      </c>
      <c r="D43">
        <v>131578000</v>
      </c>
      <c r="E43">
        <v>142375000</v>
      </c>
    </row>
    <row r="44" spans="1:6" x14ac:dyDescent="0.2">
      <c r="A44" t="s">
        <v>76</v>
      </c>
      <c r="B44">
        <v>571221000</v>
      </c>
      <c r="C44">
        <v>203131000</v>
      </c>
      <c r="D44">
        <v>203214000</v>
      </c>
      <c r="E44">
        <v>215852000</v>
      </c>
    </row>
    <row r="45" spans="1:6" x14ac:dyDescent="0.2">
      <c r="A45" t="s">
        <v>178</v>
      </c>
      <c r="E45">
        <v>811000</v>
      </c>
      <c r="F45">
        <v>2822000</v>
      </c>
    </row>
    <row r="46" spans="1:6" x14ac:dyDescent="0.2">
      <c r="A46" t="s">
        <v>179</v>
      </c>
      <c r="B46">
        <v>78403000</v>
      </c>
      <c r="C46">
        <v>148017000</v>
      </c>
      <c r="D46">
        <v>114829000</v>
      </c>
    </row>
    <row r="47" spans="1:6" x14ac:dyDescent="0.2">
      <c r="A47" t="s">
        <v>75</v>
      </c>
      <c r="B47">
        <v>80552000</v>
      </c>
      <c r="C47">
        <v>680289000</v>
      </c>
    </row>
    <row r="48" spans="1:6" x14ac:dyDescent="0.2">
      <c r="A48" t="s">
        <v>74</v>
      </c>
      <c r="B48">
        <v>80552000</v>
      </c>
      <c r="C48">
        <v>680289000</v>
      </c>
    </row>
    <row r="49" spans="1:6" x14ac:dyDescent="0.2">
      <c r="A49" t="s">
        <v>73</v>
      </c>
      <c r="B49">
        <v>80552000</v>
      </c>
      <c r="C49">
        <v>680289000</v>
      </c>
    </row>
    <row r="50" spans="1:6" x14ac:dyDescent="0.2">
      <c r="A50" t="s">
        <v>72</v>
      </c>
      <c r="B50">
        <v>730864000</v>
      </c>
      <c r="C50">
        <v>633581000</v>
      </c>
      <c r="D50">
        <v>492350000</v>
      </c>
      <c r="E50">
        <v>380436000</v>
      </c>
    </row>
    <row r="51" spans="1:6" x14ac:dyDescent="0.2">
      <c r="A51" t="s">
        <v>71</v>
      </c>
      <c r="B51">
        <v>730864000</v>
      </c>
      <c r="C51">
        <v>633581000</v>
      </c>
      <c r="D51">
        <v>492350000</v>
      </c>
      <c r="E51">
        <v>380436000</v>
      </c>
    </row>
    <row r="52" spans="1:6" x14ac:dyDescent="0.2">
      <c r="A52" t="s">
        <v>70</v>
      </c>
      <c r="B52">
        <v>9107000</v>
      </c>
      <c r="C52">
        <v>12857000</v>
      </c>
      <c r="D52">
        <v>9787000</v>
      </c>
      <c r="E52">
        <v>6358000</v>
      </c>
    </row>
    <row r="53" spans="1:6" x14ac:dyDescent="0.2">
      <c r="A53" t="s">
        <v>69</v>
      </c>
      <c r="B53">
        <v>1470147000</v>
      </c>
      <c r="C53">
        <v>1677875000</v>
      </c>
      <c r="D53">
        <v>761539000</v>
      </c>
      <c r="E53">
        <v>602646000</v>
      </c>
    </row>
    <row r="54" spans="1:6" x14ac:dyDescent="0.2">
      <c r="A54" t="s">
        <v>68</v>
      </c>
      <c r="B54">
        <v>1730170000</v>
      </c>
      <c r="C54">
        <v>680289000</v>
      </c>
      <c r="D54">
        <v>677113000</v>
      </c>
      <c r="E54">
        <v>673967000</v>
      </c>
    </row>
    <row r="55" spans="1:6" x14ac:dyDescent="0.2">
      <c r="A55" t="s">
        <v>67</v>
      </c>
      <c r="B55">
        <v>98942000</v>
      </c>
      <c r="C55">
        <v>41383000</v>
      </c>
      <c r="D55">
        <v>33550000</v>
      </c>
      <c r="E55">
        <v>37143000</v>
      </c>
    </row>
    <row r="56" spans="1:6" x14ac:dyDescent="0.2">
      <c r="A56" t="s">
        <v>66</v>
      </c>
      <c r="B56">
        <v>1829112000</v>
      </c>
      <c r="C56">
        <v>41383000</v>
      </c>
      <c r="D56">
        <v>710663000</v>
      </c>
      <c r="E56">
        <v>711110000</v>
      </c>
    </row>
    <row r="57" spans="1:6" x14ac:dyDescent="0.2">
      <c r="A57" t="s">
        <v>180</v>
      </c>
      <c r="D57">
        <v>0</v>
      </c>
      <c r="E57">
        <v>1000</v>
      </c>
      <c r="F57">
        <v>811000</v>
      </c>
    </row>
    <row r="58" spans="1:6" x14ac:dyDescent="0.2">
      <c r="A58" t="s">
        <v>181</v>
      </c>
      <c r="B58">
        <v>359902000</v>
      </c>
      <c r="C58">
        <v>360685000</v>
      </c>
      <c r="D58">
        <v>270901000</v>
      </c>
      <c r="E58">
        <v>248003000</v>
      </c>
    </row>
    <row r="59" spans="1:6" x14ac:dyDescent="0.2">
      <c r="A59" t="s">
        <v>182</v>
      </c>
      <c r="B59">
        <v>383577000</v>
      </c>
      <c r="C59">
        <v>376562000</v>
      </c>
      <c r="D59">
        <v>282243000</v>
      </c>
      <c r="E59">
        <v>254289000</v>
      </c>
    </row>
    <row r="60" spans="1:6" x14ac:dyDescent="0.2">
      <c r="A60" t="s">
        <v>65</v>
      </c>
      <c r="B60">
        <v>74819000</v>
      </c>
      <c r="C60">
        <v>51103000</v>
      </c>
      <c r="D60">
        <v>38964000</v>
      </c>
      <c r="E60">
        <v>15358000</v>
      </c>
    </row>
    <row r="61" spans="1:6" x14ac:dyDescent="0.2">
      <c r="A61" t="s">
        <v>64</v>
      </c>
      <c r="B61">
        <v>2287508000</v>
      </c>
      <c r="C61">
        <v>469048000</v>
      </c>
      <c r="D61">
        <v>1031870000</v>
      </c>
      <c r="E61">
        <v>980757000</v>
      </c>
    </row>
    <row r="62" spans="1:6" x14ac:dyDescent="0.2">
      <c r="A62" t="s">
        <v>63</v>
      </c>
      <c r="B62">
        <v>3757655000</v>
      </c>
      <c r="C62">
        <v>2146923000</v>
      </c>
      <c r="D62">
        <v>1793409000</v>
      </c>
      <c r="E62">
        <v>1583403000</v>
      </c>
    </row>
    <row r="63" spans="1:6" x14ac:dyDescent="0.2">
      <c r="A63" t="s">
        <v>183</v>
      </c>
      <c r="B63">
        <v>0</v>
      </c>
      <c r="C63">
        <v>0</v>
      </c>
      <c r="D63">
        <v>0</v>
      </c>
      <c r="E63">
        <v>0</v>
      </c>
    </row>
    <row r="64" spans="1:6" x14ac:dyDescent="0.2">
      <c r="A64" t="s">
        <v>62</v>
      </c>
      <c r="B64">
        <v>1000</v>
      </c>
      <c r="C64">
        <v>1000</v>
      </c>
      <c r="D64">
        <v>1000</v>
      </c>
      <c r="E64">
        <v>1000</v>
      </c>
    </row>
    <row r="65" spans="1:5" x14ac:dyDescent="0.2">
      <c r="A65" t="s">
        <v>61</v>
      </c>
      <c r="B65">
        <v>1000</v>
      </c>
      <c r="C65">
        <v>1000</v>
      </c>
      <c r="D65">
        <v>1000</v>
      </c>
      <c r="E65">
        <v>1000</v>
      </c>
    </row>
    <row r="66" spans="1:5" x14ac:dyDescent="0.2">
      <c r="A66" t="s">
        <v>184</v>
      </c>
      <c r="B66">
        <v>2475035000</v>
      </c>
      <c r="C66">
        <v>1689781000</v>
      </c>
      <c r="D66">
        <v>1347410000</v>
      </c>
      <c r="E66">
        <v>1174594000</v>
      </c>
    </row>
    <row r="67" spans="1:5" x14ac:dyDescent="0.2">
      <c r="A67" t="s">
        <v>60</v>
      </c>
      <c r="B67">
        <v>936670000</v>
      </c>
      <c r="C67">
        <v>812014000</v>
      </c>
      <c r="D67">
        <v>434980000</v>
      </c>
      <c r="E67">
        <v>257022000</v>
      </c>
    </row>
    <row r="68" spans="1:5" x14ac:dyDescent="0.2">
      <c r="A68" t="s">
        <v>185</v>
      </c>
      <c r="B68">
        <v>157242000</v>
      </c>
      <c r="C68">
        <v>155947000</v>
      </c>
      <c r="D68">
        <v>155947000</v>
      </c>
      <c r="E68">
        <v>155947000</v>
      </c>
    </row>
    <row r="69" spans="1:5" x14ac:dyDescent="0.2">
      <c r="A69" t="s">
        <v>59</v>
      </c>
      <c r="B69">
        <v>-11806000</v>
      </c>
      <c r="C69">
        <v>-18184000</v>
      </c>
      <c r="D69">
        <v>-10679000</v>
      </c>
      <c r="E69">
        <v>-7179000</v>
      </c>
    </row>
    <row r="70" spans="1:5" x14ac:dyDescent="0.2">
      <c r="A70" t="s">
        <v>58</v>
      </c>
      <c r="B70">
        <v>-11806000</v>
      </c>
      <c r="C70">
        <v>-18184000</v>
      </c>
      <c r="D70">
        <v>-10679000</v>
      </c>
      <c r="E70">
        <v>-7179000</v>
      </c>
    </row>
    <row r="71" spans="1:5" x14ac:dyDescent="0.2">
      <c r="A71" t="s">
        <v>57</v>
      </c>
      <c r="B71">
        <v>3242658000</v>
      </c>
      <c r="C71">
        <v>2327665000</v>
      </c>
      <c r="D71">
        <v>1615765000</v>
      </c>
      <c r="E71">
        <v>1268491000</v>
      </c>
    </row>
    <row r="72" spans="1:5" x14ac:dyDescent="0.2">
      <c r="A72" t="s">
        <v>56</v>
      </c>
      <c r="B72">
        <v>3242658000</v>
      </c>
      <c r="C72">
        <v>2327665000</v>
      </c>
      <c r="D72">
        <v>1615765000</v>
      </c>
      <c r="E72">
        <v>1268491000</v>
      </c>
    </row>
    <row r="73" spans="1:5" x14ac:dyDescent="0.2">
      <c r="A73" t="s">
        <v>55</v>
      </c>
      <c r="B73">
        <v>4972828000</v>
      </c>
      <c r="C73">
        <v>2327665000</v>
      </c>
      <c r="D73">
        <v>2292878000</v>
      </c>
      <c r="E73">
        <v>1942458000</v>
      </c>
    </row>
    <row r="74" spans="1:5" x14ac:dyDescent="0.2">
      <c r="A74" t="s">
        <v>54</v>
      </c>
      <c r="B74">
        <v>3242658000</v>
      </c>
      <c r="C74">
        <v>2327665000</v>
      </c>
      <c r="D74">
        <v>1615765000</v>
      </c>
      <c r="E74">
        <v>1268491000</v>
      </c>
    </row>
    <row r="75" spans="1:5" x14ac:dyDescent="0.2">
      <c r="A75" t="s">
        <v>53</v>
      </c>
      <c r="B75">
        <v>98942000</v>
      </c>
      <c r="C75">
        <v>41383000</v>
      </c>
      <c r="D75">
        <v>33550000</v>
      </c>
      <c r="E75">
        <v>37143000</v>
      </c>
    </row>
    <row r="76" spans="1:5" x14ac:dyDescent="0.2">
      <c r="A76" t="s">
        <v>52</v>
      </c>
      <c r="B76">
        <v>1675497000</v>
      </c>
      <c r="C76">
        <v>1395670000</v>
      </c>
      <c r="D76">
        <v>1538281000</v>
      </c>
      <c r="E76">
        <v>1211350000</v>
      </c>
    </row>
    <row r="77" spans="1:5" x14ac:dyDescent="0.2">
      <c r="A77" t="s">
        <v>51</v>
      </c>
      <c r="B77">
        <v>2242905000</v>
      </c>
      <c r="C77">
        <v>619606000</v>
      </c>
      <c r="D77">
        <v>1632103000</v>
      </c>
      <c r="E77">
        <v>1202632000</v>
      </c>
    </row>
    <row r="78" spans="1:5" x14ac:dyDescent="0.2">
      <c r="A78" t="s">
        <v>50</v>
      </c>
      <c r="D78">
        <v>2292878000</v>
      </c>
    </row>
    <row r="79" spans="1:5" x14ac:dyDescent="0.2">
      <c r="A79" t="s">
        <v>49</v>
      </c>
      <c r="B79">
        <v>1675497000</v>
      </c>
      <c r="C79">
        <v>1395670000</v>
      </c>
      <c r="D79">
        <v>1538281000</v>
      </c>
      <c r="E79">
        <v>1211350000</v>
      </c>
    </row>
    <row r="80" spans="1:5" x14ac:dyDescent="0.2">
      <c r="A80" t="s">
        <v>48</v>
      </c>
      <c r="B80">
        <v>1909664000</v>
      </c>
      <c r="C80">
        <v>721672000</v>
      </c>
      <c r="D80">
        <v>710663000</v>
      </c>
      <c r="E80">
        <v>711110000</v>
      </c>
    </row>
    <row r="81" spans="1:5" x14ac:dyDescent="0.2">
      <c r="A81" t="s">
        <v>47</v>
      </c>
      <c r="B81">
        <v>609575000</v>
      </c>
      <c r="C81">
        <v>225445000</v>
      </c>
      <c r="D81">
        <v>78568000</v>
      </c>
      <c r="E81">
        <v>320283000</v>
      </c>
    </row>
    <row r="82" spans="1:5" x14ac:dyDescent="0.2">
      <c r="A82" t="s">
        <v>46</v>
      </c>
      <c r="B82">
        <v>100444971</v>
      </c>
      <c r="C82">
        <v>96839558</v>
      </c>
      <c r="D82">
        <v>95521651</v>
      </c>
      <c r="E82">
        <v>91694808</v>
      </c>
    </row>
    <row r="83" spans="1:5" x14ac:dyDescent="0.2">
      <c r="A83" t="s">
        <v>45</v>
      </c>
      <c r="B83">
        <v>80211537</v>
      </c>
      <c r="C83">
        <v>76619331</v>
      </c>
      <c r="D83">
        <v>75301424</v>
      </c>
      <c r="E83">
        <v>71474581</v>
      </c>
    </row>
    <row r="84" spans="1:5" x14ac:dyDescent="0.2">
      <c r="A84" t="s">
        <v>44</v>
      </c>
      <c r="B84">
        <v>20233434</v>
      </c>
      <c r="C84">
        <v>20220227</v>
      </c>
      <c r="D84">
        <v>20220227</v>
      </c>
      <c r="E84">
        <v>20220227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56"/>
  <sheetViews>
    <sheetView topLeftCell="A13" workbookViewId="0"/>
  </sheetViews>
  <sheetFormatPr baseColWidth="10" defaultColWidth="8.83203125" defaultRowHeight="15" x14ac:dyDescent="0.2"/>
  <cols>
    <col min="1" max="1" width="35" customWidth="1"/>
  </cols>
  <sheetData>
    <row r="1" spans="1:6" x14ac:dyDescent="0.2">
      <c r="B1" s="10" t="s">
        <v>151</v>
      </c>
      <c r="C1" s="10" t="s">
        <v>152</v>
      </c>
      <c r="D1" s="10" t="s">
        <v>153</v>
      </c>
      <c r="E1" s="10" t="s">
        <v>154</v>
      </c>
      <c r="F1" s="10" t="s">
        <v>155</v>
      </c>
    </row>
    <row r="2" spans="1:6" x14ac:dyDescent="0.2">
      <c r="A2" t="s">
        <v>150</v>
      </c>
      <c r="B2">
        <v>124656000</v>
      </c>
      <c r="C2">
        <v>377034000</v>
      </c>
      <c r="D2">
        <v>175783000</v>
      </c>
      <c r="E2">
        <v>146930000</v>
      </c>
    </row>
    <row r="3" spans="1:6" x14ac:dyDescent="0.2">
      <c r="A3" t="s">
        <v>186</v>
      </c>
      <c r="E3">
        <v>5562000</v>
      </c>
      <c r="F3">
        <v>238000</v>
      </c>
    </row>
    <row r="4" spans="1:6" x14ac:dyDescent="0.2">
      <c r="A4" t="s">
        <v>187</v>
      </c>
      <c r="B4">
        <v>-139969000</v>
      </c>
      <c r="C4">
        <v>-283217000</v>
      </c>
      <c r="D4">
        <v>41785000</v>
      </c>
      <c r="E4">
        <v>-98943000</v>
      </c>
    </row>
    <row r="5" spans="1:6" x14ac:dyDescent="0.2">
      <c r="A5" t="s">
        <v>188</v>
      </c>
      <c r="B5">
        <v>-139969000</v>
      </c>
      <c r="C5">
        <v>-283217000</v>
      </c>
      <c r="D5">
        <v>41785000</v>
      </c>
      <c r="E5">
        <v>-98943000</v>
      </c>
    </row>
    <row r="6" spans="1:6" x14ac:dyDescent="0.2">
      <c r="A6" t="s">
        <v>149</v>
      </c>
      <c r="B6">
        <v>83161000</v>
      </c>
      <c r="C6">
        <v>48425000</v>
      </c>
      <c r="D6">
        <v>19315000</v>
      </c>
      <c r="E6">
        <v>23116000</v>
      </c>
    </row>
    <row r="7" spans="1:6" x14ac:dyDescent="0.2">
      <c r="A7" t="s">
        <v>148</v>
      </c>
      <c r="B7">
        <v>83161000</v>
      </c>
      <c r="C7">
        <v>48425000</v>
      </c>
      <c r="D7">
        <v>19315000</v>
      </c>
      <c r="E7">
        <v>23116000</v>
      </c>
    </row>
    <row r="8" spans="1:6" x14ac:dyDescent="0.2">
      <c r="A8" t="s">
        <v>147</v>
      </c>
      <c r="B8">
        <v>-82679000</v>
      </c>
      <c r="C8">
        <v>-85096000</v>
      </c>
      <c r="D8">
        <v>-72497000</v>
      </c>
      <c r="E8">
        <v>22019000</v>
      </c>
    </row>
    <row r="9" spans="1:6" x14ac:dyDescent="0.2">
      <c r="A9" t="s">
        <v>146</v>
      </c>
      <c r="B9">
        <v>-82679000</v>
      </c>
      <c r="C9">
        <v>-85096000</v>
      </c>
      <c r="D9">
        <v>-72497000</v>
      </c>
      <c r="E9">
        <v>22019000</v>
      </c>
    </row>
    <row r="10" spans="1:6" x14ac:dyDescent="0.2">
      <c r="A10" t="s">
        <v>189</v>
      </c>
      <c r="B10">
        <v>11348000</v>
      </c>
      <c r="C10">
        <v>20073000</v>
      </c>
      <c r="D10">
        <v>5484000</v>
      </c>
      <c r="E10">
        <v>701000</v>
      </c>
    </row>
    <row r="11" spans="1:6" x14ac:dyDescent="0.2">
      <c r="A11" t="s">
        <v>145</v>
      </c>
      <c r="B11">
        <v>634231000</v>
      </c>
      <c r="C11">
        <v>382604000</v>
      </c>
      <c r="D11">
        <v>131358000</v>
      </c>
      <c r="E11">
        <v>106176000</v>
      </c>
    </row>
    <row r="12" spans="1:6" x14ac:dyDescent="0.2">
      <c r="A12" t="s">
        <v>144</v>
      </c>
      <c r="B12">
        <v>62335000</v>
      </c>
      <c r="C12">
        <v>21177000</v>
      </c>
      <c r="D12">
        <v>12853000</v>
      </c>
      <c r="E12">
        <v>16031000</v>
      </c>
    </row>
    <row r="13" spans="1:6" x14ac:dyDescent="0.2">
      <c r="A13" t="s">
        <v>143</v>
      </c>
      <c r="B13">
        <v>-505560000</v>
      </c>
      <c r="C13">
        <v>-245842000</v>
      </c>
      <c r="D13">
        <v>-178989000</v>
      </c>
      <c r="E13">
        <v>-78226000</v>
      </c>
    </row>
    <row r="14" spans="1:6" x14ac:dyDescent="0.2">
      <c r="A14" t="s">
        <v>142</v>
      </c>
      <c r="B14">
        <v>-81951000</v>
      </c>
      <c r="C14">
        <v>607000</v>
      </c>
      <c r="D14">
        <v>-77626000</v>
      </c>
      <c r="E14">
        <v>-95011000</v>
      </c>
    </row>
    <row r="15" spans="1:6" x14ac:dyDescent="0.2">
      <c r="A15" t="s">
        <v>190</v>
      </c>
      <c r="B15">
        <v>-264594000</v>
      </c>
      <c r="C15">
        <v>-37613000</v>
      </c>
      <c r="D15">
        <v>-80351000</v>
      </c>
      <c r="E15">
        <v>-43976000</v>
      </c>
    </row>
    <row r="16" spans="1:6" x14ac:dyDescent="0.2">
      <c r="A16" t="s">
        <v>141</v>
      </c>
      <c r="B16">
        <v>286885000</v>
      </c>
      <c r="C16">
        <v>54519000</v>
      </c>
      <c r="D16">
        <v>65329000</v>
      </c>
      <c r="E16">
        <v>80978000</v>
      </c>
    </row>
    <row r="17" spans="1:6" x14ac:dyDescent="0.2">
      <c r="A17" t="s">
        <v>140</v>
      </c>
      <c r="B17">
        <v>286885000</v>
      </c>
      <c r="C17">
        <v>54519000</v>
      </c>
      <c r="D17">
        <v>65329000</v>
      </c>
      <c r="E17">
        <v>80978000</v>
      </c>
    </row>
    <row r="18" spans="1:6" x14ac:dyDescent="0.2">
      <c r="A18" t="s">
        <v>139</v>
      </c>
      <c r="B18">
        <v>286885000</v>
      </c>
      <c r="C18">
        <v>54519000</v>
      </c>
      <c r="D18">
        <v>65329000</v>
      </c>
      <c r="E18">
        <v>80978000</v>
      </c>
    </row>
    <row r="19" spans="1:6" x14ac:dyDescent="0.2">
      <c r="A19" t="s">
        <v>138</v>
      </c>
      <c r="B19">
        <v>83476000</v>
      </c>
      <c r="C19">
        <v>155641000</v>
      </c>
      <c r="D19">
        <v>146819000</v>
      </c>
      <c r="E19">
        <v>155566000</v>
      </c>
    </row>
    <row r="20" spans="1:6" x14ac:dyDescent="0.2">
      <c r="A20" t="s">
        <v>137</v>
      </c>
      <c r="B20">
        <v>-481744000</v>
      </c>
      <c r="C20">
        <v>-72688000</v>
      </c>
      <c r="D20">
        <v>-124818000</v>
      </c>
      <c r="E20">
        <v>19331000</v>
      </c>
    </row>
    <row r="21" spans="1:6" x14ac:dyDescent="0.2">
      <c r="A21" t="s">
        <v>136</v>
      </c>
      <c r="B21">
        <v>211339000</v>
      </c>
      <c r="C21">
        <v>408312000</v>
      </c>
      <c r="D21">
        <v>189263000</v>
      </c>
      <c r="E21">
        <v>235361000</v>
      </c>
    </row>
    <row r="22" spans="1:6" x14ac:dyDescent="0.2">
      <c r="A22" t="s">
        <v>135</v>
      </c>
      <c r="B22">
        <v>211339000</v>
      </c>
      <c r="C22">
        <v>408312000</v>
      </c>
      <c r="D22">
        <v>189263000</v>
      </c>
      <c r="E22">
        <v>235361000</v>
      </c>
    </row>
    <row r="23" spans="1:6" x14ac:dyDescent="0.2">
      <c r="A23" t="s">
        <v>134</v>
      </c>
      <c r="B23">
        <v>-136258000</v>
      </c>
      <c r="C23">
        <v>-78785000</v>
      </c>
      <c r="D23">
        <v>-59635000</v>
      </c>
      <c r="E23">
        <v>-55802000</v>
      </c>
    </row>
    <row r="24" spans="1:6" x14ac:dyDescent="0.2">
      <c r="A24" t="s">
        <v>191</v>
      </c>
      <c r="D24">
        <v>98000</v>
      </c>
      <c r="E24">
        <v>287000</v>
      </c>
      <c r="F24">
        <v>43000</v>
      </c>
    </row>
    <row r="25" spans="1:6" x14ac:dyDescent="0.2">
      <c r="A25" t="s">
        <v>133</v>
      </c>
      <c r="B25">
        <v>-136258000</v>
      </c>
      <c r="C25">
        <v>-78785000</v>
      </c>
      <c r="D25">
        <v>-59635000</v>
      </c>
      <c r="E25">
        <v>-55802000</v>
      </c>
    </row>
    <row r="26" spans="1:6" x14ac:dyDescent="0.2">
      <c r="A26" t="s">
        <v>192</v>
      </c>
      <c r="D26">
        <v>-635000</v>
      </c>
      <c r="E26">
        <v>-307000</v>
      </c>
      <c r="F26">
        <v>-392000</v>
      </c>
    </row>
    <row r="27" spans="1:6" x14ac:dyDescent="0.2">
      <c r="A27" t="s">
        <v>193</v>
      </c>
      <c r="D27">
        <v>-635000</v>
      </c>
      <c r="E27">
        <v>-307000</v>
      </c>
      <c r="F27">
        <v>-392000</v>
      </c>
    </row>
    <row r="28" spans="1:6" x14ac:dyDescent="0.2">
      <c r="A28" t="s">
        <v>132</v>
      </c>
      <c r="B28">
        <v>-646875000</v>
      </c>
      <c r="C28">
        <v>-621817000</v>
      </c>
      <c r="D28">
        <v>-21090000</v>
      </c>
      <c r="E28">
        <v>-2104000</v>
      </c>
    </row>
    <row r="29" spans="1:6" x14ac:dyDescent="0.2">
      <c r="A29" t="s">
        <v>131</v>
      </c>
      <c r="B29">
        <v>-646875000</v>
      </c>
      <c r="C29">
        <v>-621817000</v>
      </c>
      <c r="D29">
        <v>-21090000</v>
      </c>
      <c r="E29">
        <v>-2104000</v>
      </c>
    </row>
    <row r="30" spans="1:6" x14ac:dyDescent="0.2">
      <c r="A30" t="s">
        <v>130</v>
      </c>
      <c r="B30">
        <v>-2076304000</v>
      </c>
      <c r="C30">
        <v>-793419000</v>
      </c>
      <c r="D30">
        <v>-563680000</v>
      </c>
      <c r="E30">
        <v>-845179000</v>
      </c>
    </row>
    <row r="31" spans="1:6" x14ac:dyDescent="0.2">
      <c r="A31" t="s">
        <v>129</v>
      </c>
      <c r="B31">
        <v>2134556000</v>
      </c>
      <c r="C31">
        <v>1003394000</v>
      </c>
      <c r="D31">
        <v>657418000</v>
      </c>
      <c r="E31">
        <v>72138000</v>
      </c>
    </row>
    <row r="32" spans="1:6" x14ac:dyDescent="0.2">
      <c r="A32" t="s">
        <v>128</v>
      </c>
      <c r="B32">
        <v>58252000</v>
      </c>
      <c r="C32">
        <v>209975000</v>
      </c>
      <c r="D32">
        <v>93738000</v>
      </c>
      <c r="E32">
        <v>-773041000</v>
      </c>
    </row>
    <row r="33" spans="1:6" x14ac:dyDescent="0.2">
      <c r="A33" t="s">
        <v>127</v>
      </c>
      <c r="B33">
        <v>-49000</v>
      </c>
      <c r="C33">
        <v>54000</v>
      </c>
      <c r="D33">
        <v>-537000</v>
      </c>
      <c r="E33">
        <v>-20000</v>
      </c>
    </row>
    <row r="34" spans="1:6" x14ac:dyDescent="0.2">
      <c r="A34" t="s">
        <v>126</v>
      </c>
      <c r="B34">
        <v>-724930000</v>
      </c>
      <c r="C34">
        <v>-490573000</v>
      </c>
      <c r="D34">
        <v>12476000</v>
      </c>
      <c r="E34">
        <v>-830967000</v>
      </c>
    </row>
    <row r="35" spans="1:6" x14ac:dyDescent="0.2">
      <c r="A35" t="s">
        <v>125</v>
      </c>
      <c r="B35">
        <v>-724930000</v>
      </c>
      <c r="C35">
        <v>-490573000</v>
      </c>
      <c r="D35">
        <v>12476000</v>
      </c>
      <c r="E35">
        <v>-830967000</v>
      </c>
    </row>
    <row r="36" spans="1:6" x14ac:dyDescent="0.2">
      <c r="A36" t="s">
        <v>124</v>
      </c>
      <c r="B36">
        <v>1750000000</v>
      </c>
      <c r="C36">
        <v>0</v>
      </c>
      <c r="D36">
        <v>0</v>
      </c>
      <c r="E36">
        <v>673769000</v>
      </c>
    </row>
    <row r="37" spans="1:6" x14ac:dyDescent="0.2">
      <c r="A37" t="s">
        <v>123</v>
      </c>
      <c r="B37">
        <v>1750000000</v>
      </c>
      <c r="C37">
        <v>0</v>
      </c>
      <c r="D37">
        <v>0</v>
      </c>
      <c r="E37">
        <v>673769000</v>
      </c>
    </row>
    <row r="38" spans="1:6" x14ac:dyDescent="0.2">
      <c r="A38" t="s">
        <v>122</v>
      </c>
      <c r="B38">
        <v>1750000000</v>
      </c>
      <c r="C38">
        <v>0</v>
      </c>
      <c r="D38">
        <v>0</v>
      </c>
      <c r="E38">
        <v>673769000</v>
      </c>
    </row>
    <row r="39" spans="1:6" x14ac:dyDescent="0.2">
      <c r="A39" t="s">
        <v>121</v>
      </c>
      <c r="B39">
        <v>489554000</v>
      </c>
      <c r="C39">
        <v>0</v>
      </c>
      <c r="D39">
        <v>94705000</v>
      </c>
      <c r="F39">
        <v>105514000</v>
      </c>
    </row>
    <row r="40" spans="1:6" x14ac:dyDescent="0.2">
      <c r="A40" t="s">
        <v>120</v>
      </c>
      <c r="E40">
        <v>-74000</v>
      </c>
    </row>
    <row r="41" spans="1:6" x14ac:dyDescent="0.2">
      <c r="A41" t="s">
        <v>119</v>
      </c>
      <c r="B41">
        <v>489554000</v>
      </c>
      <c r="C41">
        <v>0</v>
      </c>
      <c r="D41">
        <v>94705000</v>
      </c>
      <c r="E41">
        <v>-74000</v>
      </c>
    </row>
    <row r="42" spans="1:6" x14ac:dyDescent="0.2">
      <c r="A42" t="s">
        <v>194</v>
      </c>
      <c r="B42">
        <v>-608890000</v>
      </c>
      <c r="C42">
        <v>14576000</v>
      </c>
      <c r="D42">
        <v>54503000</v>
      </c>
      <c r="E42">
        <v>124269000</v>
      </c>
    </row>
    <row r="43" spans="1:6" x14ac:dyDescent="0.2">
      <c r="A43" t="s">
        <v>118</v>
      </c>
      <c r="B43">
        <v>-378199000</v>
      </c>
      <c r="C43">
        <v>-60013000</v>
      </c>
      <c r="D43">
        <v>-107894000</v>
      </c>
      <c r="E43">
        <v>-199864000</v>
      </c>
    </row>
    <row r="44" spans="1:6" x14ac:dyDescent="0.2">
      <c r="A44" t="s">
        <v>117</v>
      </c>
      <c r="B44">
        <v>1252465000</v>
      </c>
      <c r="C44">
        <v>-45437000</v>
      </c>
      <c r="D44">
        <v>41314000</v>
      </c>
      <c r="E44">
        <v>598100000</v>
      </c>
    </row>
    <row r="45" spans="1:6" x14ac:dyDescent="0.2">
      <c r="A45" t="s">
        <v>116</v>
      </c>
      <c r="B45">
        <v>1252465000</v>
      </c>
      <c r="C45">
        <v>-45437000</v>
      </c>
      <c r="D45">
        <v>41314000</v>
      </c>
      <c r="E45">
        <v>598100000</v>
      </c>
    </row>
    <row r="46" spans="1:6" x14ac:dyDescent="0.2">
      <c r="A46" t="s">
        <v>115</v>
      </c>
      <c r="B46">
        <v>738874000</v>
      </c>
      <c r="C46">
        <v>-127698000</v>
      </c>
      <c r="D46">
        <v>243053000</v>
      </c>
      <c r="E46">
        <v>2494000</v>
      </c>
    </row>
    <row r="47" spans="1:6" x14ac:dyDescent="0.2">
      <c r="A47" t="s">
        <v>195</v>
      </c>
      <c r="B47">
        <v>7756000</v>
      </c>
      <c r="C47">
        <v>-6209000</v>
      </c>
      <c r="D47">
        <v>2065000</v>
      </c>
      <c r="E47">
        <v>-3380000</v>
      </c>
    </row>
    <row r="48" spans="1:6" x14ac:dyDescent="0.2">
      <c r="A48" t="s">
        <v>114</v>
      </c>
      <c r="B48">
        <v>466763000</v>
      </c>
      <c r="C48">
        <v>600670000</v>
      </c>
      <c r="D48">
        <v>355552000</v>
      </c>
      <c r="E48">
        <v>356438000</v>
      </c>
    </row>
    <row r="49" spans="1:6" x14ac:dyDescent="0.2">
      <c r="A49" t="s">
        <v>113</v>
      </c>
      <c r="B49">
        <v>1213393000</v>
      </c>
      <c r="C49">
        <v>466763000</v>
      </c>
      <c r="D49">
        <v>600670000</v>
      </c>
      <c r="E49">
        <v>355552000</v>
      </c>
    </row>
    <row r="50" spans="1:6" x14ac:dyDescent="0.2">
      <c r="A50" t="s">
        <v>112</v>
      </c>
      <c r="B50">
        <v>51121000</v>
      </c>
      <c r="C50">
        <v>67845000</v>
      </c>
      <c r="D50">
        <v>64492000</v>
      </c>
      <c r="E50">
        <v>10508000</v>
      </c>
    </row>
    <row r="51" spans="1:6" x14ac:dyDescent="0.2">
      <c r="A51" t="s">
        <v>111</v>
      </c>
      <c r="B51">
        <v>57173000</v>
      </c>
      <c r="C51">
        <v>3450000</v>
      </c>
      <c r="D51">
        <v>3508000</v>
      </c>
      <c r="E51">
        <v>0</v>
      </c>
    </row>
    <row r="52" spans="1:6" x14ac:dyDescent="0.2">
      <c r="A52" t="s">
        <v>110</v>
      </c>
      <c r="B52">
        <v>-136258000</v>
      </c>
      <c r="C52">
        <v>-78785000</v>
      </c>
      <c r="D52">
        <v>-59635000</v>
      </c>
      <c r="E52">
        <v>-55802000</v>
      </c>
    </row>
    <row r="53" spans="1:6" x14ac:dyDescent="0.2">
      <c r="A53" t="s">
        <v>109</v>
      </c>
      <c r="B53">
        <v>489554000</v>
      </c>
      <c r="C53">
        <v>0</v>
      </c>
      <c r="D53">
        <v>94705000</v>
      </c>
      <c r="F53">
        <v>105514000</v>
      </c>
    </row>
    <row r="54" spans="1:6" x14ac:dyDescent="0.2">
      <c r="A54" t="s">
        <v>108</v>
      </c>
      <c r="B54">
        <v>1750000000</v>
      </c>
      <c r="C54">
        <v>0</v>
      </c>
      <c r="D54">
        <v>0</v>
      </c>
      <c r="E54">
        <v>673769000</v>
      </c>
    </row>
    <row r="55" spans="1:6" x14ac:dyDescent="0.2">
      <c r="A55" t="s">
        <v>107</v>
      </c>
      <c r="E55">
        <v>-74000</v>
      </c>
    </row>
    <row r="56" spans="1:6" x14ac:dyDescent="0.2">
      <c r="A56" t="s">
        <v>106</v>
      </c>
      <c r="B56">
        <v>75081000</v>
      </c>
      <c r="C56">
        <v>329527000</v>
      </c>
      <c r="D56">
        <v>129628000</v>
      </c>
      <c r="E56">
        <v>179559000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B10"/>
  <sheetViews>
    <sheetView tabSelected="1" workbookViewId="0">
      <selection activeCell="L21" sqref="L21"/>
    </sheetView>
  </sheetViews>
  <sheetFormatPr baseColWidth="10" defaultRowHeight="15" x14ac:dyDescent="0.2"/>
  <sheetData>
    <row r="2" spans="1:2" x14ac:dyDescent="0.2">
      <c r="A2" s="1" t="s">
        <v>0</v>
      </c>
      <c r="B2" s="2" t="e" vm="1">
        <f t="array" ref="B2">_FV(A1,"Price")</f>
        <v>#VALUE!</v>
      </c>
    </row>
    <row r="3" spans="1:2" x14ac:dyDescent="0.2">
      <c r="A3" s="3" t="s">
        <v>1</v>
      </c>
      <c r="B3" s="4" t="e" vm="2">
        <f t="array" ref="B3">_FV(A1,"Market cap",TRUE)/1000000000</f>
        <v>#VALUE!</v>
      </c>
    </row>
    <row r="4" spans="1:2" x14ac:dyDescent="0.2">
      <c r="A4" s="5"/>
      <c r="B4" s="6"/>
    </row>
    <row r="5" spans="1:2" x14ac:dyDescent="0.2">
      <c r="A5" s="6"/>
      <c r="B5" s="6"/>
    </row>
    <row r="6" spans="1:2" ht="16" customHeight="1" x14ac:dyDescent="0.2">
      <c r="A6" s="6" t="s">
        <v>2</v>
      </c>
      <c r="B6" s="7" t="s">
        <v>3</v>
      </c>
    </row>
    <row r="7" spans="1:2" x14ac:dyDescent="0.2">
      <c r="A7" s="6"/>
      <c r="B7" s="8"/>
    </row>
    <row r="8" spans="1:2" x14ac:dyDescent="0.2">
      <c r="A8" s="6"/>
      <c r="B8" s="6"/>
    </row>
    <row r="9" spans="1:2" x14ac:dyDescent="0.2">
      <c r="A9" s="6" t="s">
        <v>4</v>
      </c>
      <c r="B9" s="9">
        <v>0.1</v>
      </c>
    </row>
    <row r="10" spans="1:2" x14ac:dyDescent="0.2">
      <c r="B10">
        <f>'Cash Flow'!B56</f>
        <v>75081000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Income Statement</vt:lpstr>
      <vt:lpstr>Balance Sheet</vt:lpstr>
      <vt:lpstr>Cash Flow</vt:lpstr>
      <vt:lpstr>DCF Model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Mahesh Krishnamurthy</cp:lastModifiedBy>
  <dcterms:created xsi:type="dcterms:W3CDTF">2026-04-24T19:13:20Z</dcterms:created>
  <dcterms:modified xsi:type="dcterms:W3CDTF">2026-04-24T19:32:30Z</dcterms:modified>
</cp:coreProperties>
</file>